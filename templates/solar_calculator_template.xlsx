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Data" sheetId="1" state="visible" r:id="rId1"/>
    <sheet name="Solar Calc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%"/>
    <numFmt numFmtId="166" formatCode="0.0"/>
    <numFmt numFmtId="167" formatCode="0.0&quot;%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666666"/>
      <sz val="10"/>
    </font>
    <font>
      <name val="Calibri"/>
      <color rgb="00333333"/>
      <sz val="11"/>
    </font>
    <font>
      <name val="Calibri"/>
      <i val="1"/>
      <color rgb="00999999"/>
      <sz val="9"/>
    </font>
    <font>
      <name val="Calibri"/>
      <b val="1"/>
      <color rgb="001B5E20"/>
      <sz val="11"/>
    </font>
    <font>
      <name val="Calibri"/>
      <b val="1"/>
      <color rgb="001B5E20"/>
      <sz val="12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FFF9C4"/>
        <bgColor rgb="00FFF9C4"/>
      </patternFill>
    </fill>
    <fill>
      <patternFill patternType="solid">
        <fgColor rgb="00E65100"/>
        <bgColor rgb="00E6510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0" fillId="3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1" fillId="4" borderId="0" pivotButton="0" quotePrefix="0" xfId="0"/>
    <xf numFmtId="0" fontId="0" fillId="4" borderId="0" pivotButton="0" quotePrefix="0" xfId="0"/>
    <xf numFmtId="0" fontId="5" fillId="0" borderId="0" pivotButton="0" quotePrefix="0" xfId="0"/>
    <xf numFmtId="165" fontId="0" fillId="3" borderId="1" applyAlignment="1" pivotButton="0" quotePrefix="0" xfId="0">
      <alignment horizontal="center"/>
    </xf>
    <xf numFmtId="0" fontId="2" fillId="0" borderId="0" pivotButton="0" quotePrefix="0" xfId="0"/>
    <xf numFmtId="0" fontId="6" fillId="5" borderId="1" applyAlignment="1" pivotButton="0" quotePrefix="0" xfId="0">
      <alignment horizontal="center"/>
    </xf>
    <xf numFmtId="164" fontId="6" fillId="5" borderId="1" applyAlignment="1" pivotButton="0" quotePrefix="0" xfId="0">
      <alignment horizontal="center"/>
    </xf>
    <xf numFmtId="166" fontId="6" fillId="5" borderId="1" applyAlignment="1" pivotButton="0" quotePrefix="0" xfId="0">
      <alignment horizontal="center"/>
    </xf>
    <xf numFmtId="167" fontId="6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</cols>
  <sheetData>
    <row r="1" ht="35" customHeight="1">
      <c r="A1" s="1" t="inlineStr">
        <is>
          <t>⚡ ELECTRICITY BILL DATA</t>
        </is>
      </c>
      <c r="B1" s="2" t="n"/>
    </row>
    <row r="2">
      <c r="A2" s="3" t="inlineStr">
        <is>
          <t>Field</t>
        </is>
      </c>
      <c r="B2" s="3" t="inlineStr">
        <is>
          <t>Value</t>
        </is>
      </c>
      <c r="C2" s="3" t="inlineStr">
        <is>
          <t>Type</t>
        </is>
      </c>
    </row>
    <row r="3">
      <c r="A3" s="4" t="inlineStr">
        <is>
          <t>Consumer Name</t>
        </is>
      </c>
      <c r="B3" s="5" t="inlineStr"/>
      <c r="C3" s="6" t="inlineStr">
        <is>
          <t>INPUT</t>
        </is>
      </c>
    </row>
    <row r="4">
      <c r="A4" s="4" t="inlineStr">
        <is>
          <t>Consumer Number</t>
        </is>
      </c>
      <c r="B4" s="5" t="inlineStr"/>
      <c r="C4" s="6" t="inlineStr">
        <is>
          <t>INPUT</t>
        </is>
      </c>
    </row>
    <row r="5">
      <c r="A5" s="4" t="inlineStr">
        <is>
          <t>Billing Period</t>
        </is>
      </c>
      <c r="B5" s="5" t="inlineStr"/>
      <c r="C5" s="6" t="inlineStr">
        <is>
          <t>INPUT</t>
        </is>
      </c>
    </row>
    <row r="6">
      <c r="A6" s="4" t="inlineStr">
        <is>
          <t>Units Consumed (kWh)</t>
        </is>
      </c>
      <c r="B6" s="5" t="n">
        <v>0</v>
      </c>
      <c r="C6" s="6" t="inlineStr">
        <is>
          <t>INPUT</t>
        </is>
      </c>
    </row>
    <row r="7">
      <c r="A7" s="4" t="inlineStr">
        <is>
          <t>Sanctioned Load (kW)</t>
        </is>
      </c>
      <c r="B7" s="5" t="n">
        <v>0</v>
      </c>
      <c r="C7" s="6" t="inlineStr">
        <is>
          <t>INPUT</t>
        </is>
      </c>
    </row>
    <row r="8">
      <c r="A8" s="4" t="inlineStr">
        <is>
          <t>Tariff Category</t>
        </is>
      </c>
      <c r="B8" s="5" t="inlineStr"/>
      <c r="C8" s="6" t="inlineStr">
        <is>
          <t>INPUT</t>
        </is>
      </c>
    </row>
    <row r="9">
      <c r="A9" s="4" t="inlineStr">
        <is>
          <t>Total Bill Amount (₹)</t>
        </is>
      </c>
      <c r="B9" s="7" t="n">
        <v>0</v>
      </c>
      <c r="C9" s="6" t="inlineStr">
        <is>
          <t>INPUT</t>
        </is>
      </c>
    </row>
    <row r="10">
      <c r="A10" s="4" t="inlineStr">
        <is>
          <t>Electricity Rate (₹/kWh)</t>
        </is>
      </c>
      <c r="B10" s="7" t="n">
        <v>0</v>
      </c>
      <c r="C10" s="6" t="inlineStr">
        <is>
          <t>INPUT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</cols>
  <sheetData>
    <row r="1" ht="35" customHeight="1">
      <c r="A1" s="8" t="inlineStr">
        <is>
          <t>☀️ SOLAR SYSTEM RECOMMENDATION</t>
        </is>
      </c>
      <c r="B1" s="9" t="n"/>
    </row>
    <row r="2">
      <c r="A2" s="10" t="inlineStr">
        <is>
          <t>System Parameters</t>
        </is>
      </c>
    </row>
    <row r="3">
      <c r="A3" s="4" t="inlineStr">
        <is>
          <t>Peak Sun Hours (hrs/day)</t>
        </is>
      </c>
      <c r="B3" s="5" t="n">
        <v>5</v>
      </c>
    </row>
    <row r="4">
      <c r="A4" s="4" t="inlineStr">
        <is>
          <t>Panel Wattage (W)</t>
        </is>
      </c>
      <c r="B4" s="5" t="n">
        <v>540</v>
      </c>
    </row>
    <row r="5">
      <c r="A5" s="4" t="inlineStr">
        <is>
          <t>Cost per kW (₹)</t>
        </is>
      </c>
      <c r="B5" s="7" t="n">
        <v>55000</v>
      </c>
    </row>
    <row r="6">
      <c r="A6" s="4" t="inlineStr">
        <is>
          <t>System Life (years)</t>
        </is>
      </c>
      <c r="B6" s="5" t="n">
        <v>25</v>
      </c>
    </row>
    <row r="7">
      <c r="A7" s="4" t="inlineStr">
        <is>
          <t>Annual Tariff Increase (%)</t>
        </is>
      </c>
      <c r="B7" s="11" t="n">
        <v>0.05</v>
      </c>
    </row>
    <row r="9">
      <c r="A9" s="10" t="inlineStr">
        <is>
          <t>Solar System Sizing</t>
        </is>
      </c>
      <c r="C9" s="12" t="inlineStr">
        <is>
          <t>Type</t>
        </is>
      </c>
    </row>
    <row r="10">
      <c r="A10" s="4" t="inlineStr">
        <is>
          <t>Daily Consumption (kWh/day)</t>
        </is>
      </c>
      <c r="B10" s="13">
        <f>'Bill Data'!B6/30</f>
        <v/>
      </c>
      <c r="C10" s="6" t="inlineStr">
        <is>
          <t>FORMULA</t>
        </is>
      </c>
    </row>
    <row r="11">
      <c r="A11" s="4" t="inlineStr">
        <is>
          <t>Recommended System Size (kW)</t>
        </is>
      </c>
      <c r="B11" s="13">
        <f>ROUND(B10/B3, 1)</f>
        <v/>
      </c>
      <c r="C11" s="6" t="inlineStr">
        <is>
          <t>FORMULA</t>
        </is>
      </c>
    </row>
    <row r="12">
      <c r="A12" s="4" t="inlineStr">
        <is>
          <t>Number of Panels</t>
        </is>
      </c>
      <c r="B12" s="13">
        <f>ROUNDUP(B11*1000/B4, 0)</f>
        <v/>
      </c>
      <c r="C12" s="6" t="inlineStr">
        <is>
          <t>FORMULA</t>
        </is>
      </c>
    </row>
    <row r="13">
      <c r="A13" s="4" t="inlineStr">
        <is>
          <t>Roof Area Required (sq ft)</t>
        </is>
      </c>
      <c r="B13" s="13">
        <f>B12*20</f>
        <v/>
      </c>
      <c r="C13" s="6" t="inlineStr">
        <is>
          <t>FORMULA</t>
        </is>
      </c>
    </row>
    <row r="14">
      <c r="A14" s="4" t="inlineStr">
        <is>
          <t>Annual Generation (kWh)</t>
        </is>
      </c>
      <c r="B14" s="13">
        <f>ROUND(B11*B3*365, 0)</f>
        <v/>
      </c>
      <c r="C14" s="6" t="inlineStr">
        <is>
          <t>FORMULA</t>
        </is>
      </c>
    </row>
    <row r="16">
      <c r="A16" s="10" t="inlineStr">
        <is>
          <t>Financial Analysis</t>
        </is>
      </c>
    </row>
    <row r="17">
      <c r="A17" s="4" t="inlineStr">
        <is>
          <t>Annual Savings (₹)</t>
        </is>
      </c>
      <c r="B17" s="14">
        <f>ROUND('Bill Data'!B10*B14, 0)</f>
        <v/>
      </c>
      <c r="C17" s="6" t="inlineStr">
        <is>
          <t>FORMULA</t>
        </is>
      </c>
    </row>
    <row r="18">
      <c r="A18" s="4" t="inlineStr">
        <is>
          <t>System Cost (₹)</t>
        </is>
      </c>
      <c r="B18" s="14">
        <f>ROUND(B11*B5, 0)</f>
        <v/>
      </c>
      <c r="C18" s="6" t="inlineStr">
        <is>
          <t>FORMULA</t>
        </is>
      </c>
    </row>
    <row r="19">
      <c r="A19" s="4" t="inlineStr">
        <is>
          <t>Govt Subsidy (₹) — up to 3kW</t>
        </is>
      </c>
      <c r="B19" s="14">
        <f>IF(B11&lt;=2, 30000*B11, IF(B11&lt;=3, 30000*2+18000*(B11-2), 30000*2+18000*1))</f>
        <v/>
      </c>
      <c r="C19" s="6" t="inlineStr">
        <is>
          <t>FORMULA</t>
        </is>
      </c>
    </row>
    <row r="20">
      <c r="A20" s="4" t="inlineStr">
        <is>
          <t>Net Investment (₹)</t>
        </is>
      </c>
      <c r="B20" s="14">
        <f>B18-B19</f>
        <v/>
      </c>
      <c r="C20" s="6" t="inlineStr">
        <is>
          <t>FORMULA</t>
        </is>
      </c>
    </row>
    <row r="21">
      <c r="A21" s="4" t="inlineStr">
        <is>
          <t>Simple Payback Period (years)</t>
        </is>
      </c>
      <c r="B21" s="15">
        <f>ROUND(B20/B17, 1)</f>
        <v/>
      </c>
      <c r="C21" s="6" t="inlineStr">
        <is>
          <t>FORMULA</t>
        </is>
      </c>
    </row>
    <row r="22">
      <c r="A22" s="4" t="inlineStr">
        <is>
          <t>25-Year Savings (₹)</t>
        </is>
      </c>
      <c r="B22" s="14">
        <f>ROUND(B17*((1-(1+B7)^B6)/(-B7)), 0)</f>
        <v/>
      </c>
      <c r="C22" s="6" t="inlineStr">
        <is>
          <t>FORMULA</t>
        </is>
      </c>
    </row>
    <row r="23">
      <c r="A23" s="4" t="inlineStr">
        <is>
          <t>Return on Investment (%)</t>
        </is>
      </c>
      <c r="B23" s="16">
        <f>ROUND((B22-B20)/B20*100, 1)</f>
        <v/>
      </c>
      <c r="C23" s="6" t="inlineStr">
        <is>
          <t>FORMULA</t>
        </is>
      </c>
    </row>
    <row r="24">
      <c r="A24" s="4" t="inlineStr">
        <is>
          <t>CO₂ Offset (tonnes/year)</t>
        </is>
      </c>
      <c r="B24" s="15">
        <f>ROUND(B14*0.82/1000, 1)</f>
        <v/>
      </c>
      <c r="C24" s="6" t="inlineStr">
        <is>
          <t>FORMULA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2026-04-30T17:54:47Z</dcterms:created>
  <dcterms:modified xsi:type="dcterms:W3CDTF">2026-04-30T17:54:47Z</dcterms:modified>
</cp:coreProperties>
</file>